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ASTER" sheetId="1" r:id="rId1"/>
    <sheet name="Sample" sheetId="2" r:id="rId2"/>
  </sheets>
  <externalReferences>
    <externalReference r:id="rId3"/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2" l="1"/>
  <c r="M2" i="2"/>
  <c r="L2" i="2"/>
</calcChain>
</file>

<file path=xl/sharedStrings.xml><?xml version="1.0" encoding="utf-8"?>
<sst xmlns="http://schemas.openxmlformats.org/spreadsheetml/2006/main" count="79" uniqueCount="43">
  <si>
    <t>SR.No</t>
  </si>
  <si>
    <t>Calender Month</t>
  </si>
  <si>
    <t>Month Report PMO 21-20</t>
  </si>
  <si>
    <t>Month CD/Key 26-25</t>
  </si>
  <si>
    <t>start date</t>
  </si>
  <si>
    <t>End Date</t>
  </si>
  <si>
    <t>Start Time</t>
  </si>
  <si>
    <t>End Time</t>
  </si>
  <si>
    <t>Learning hours</t>
  </si>
  <si>
    <t>training name</t>
  </si>
  <si>
    <t>PMO Training Category</t>
  </si>
  <si>
    <t>PL Category</t>
  </si>
  <si>
    <t>BRSR SQ 1,2,3 Category</t>
  </si>
  <si>
    <t>Calendar/Need base/Reschedule</t>
  </si>
  <si>
    <t>TNI / NON TNI</t>
  </si>
  <si>
    <t>Location Hall</t>
  </si>
  <si>
    <t xml:space="preserve">Faculty 1 </t>
  </si>
  <si>
    <t>Faculty 2</t>
  </si>
  <si>
    <t>Faculty 3</t>
  </si>
  <si>
    <t>Faculty 4</t>
  </si>
  <si>
    <t>per. No</t>
  </si>
  <si>
    <t xml:space="preserve">Participants Name </t>
  </si>
  <si>
    <t>BC No</t>
  </si>
  <si>
    <t>Gender</t>
  </si>
  <si>
    <t>Employee group</t>
  </si>
  <si>
    <t>Department</t>
  </si>
  <si>
    <t>Factory</t>
  </si>
  <si>
    <t>Nomination recieved from</t>
  </si>
  <si>
    <t>mobile number</t>
  </si>
  <si>
    <t>mail id</t>
  </si>
  <si>
    <t>November</t>
  </si>
  <si>
    <t>SDVTS-DDT</t>
  </si>
  <si>
    <t>Calendar</t>
  </si>
  <si>
    <t>TNI</t>
  </si>
  <si>
    <t>SDP Hall</t>
  </si>
  <si>
    <t>Mayur Chambhare</t>
  </si>
  <si>
    <t>-</t>
  </si>
  <si>
    <t>Bamane Bharat Dattu</t>
  </si>
  <si>
    <t>Male</t>
  </si>
  <si>
    <t>Permanent</t>
  </si>
  <si>
    <t>PTPA</t>
  </si>
  <si>
    <t>Plant Location</t>
  </si>
  <si>
    <t>Pune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</si>
</sst>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14009]yyyy/mm/dd;@"/>
    <numFmt numFmtId="165" formatCode="[$-F400]h:mm:ss\ AM/PM"/>
    <numFmt numFmtId="166" formatCode="[$-409]h:mm\ AM/PM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6" fontId="6" fillId="0" borderId="4" xfId="0" applyNumberFormat="1" applyFont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SkillDevelopmentDashboardPuneTMCV/Shared%20Documents/Manual%20Dashboard%20Data/1.Master%20Data%20Skill%20development%202025-26%20TMCV%20Pune_Ol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eDrive%20-%20TATA%20MOTORS%20LTD\Skill%20Development%20Dashboard%20Pune%20TMCV\Manual%20Dashboard%20Data\1.Master%20Data%20Skill%20Devlopment%202025-26%20TMCV%20Pu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Data 25-26"/>
      <sheetName val="Sheet3"/>
      <sheetName val="Pivot IMP"/>
      <sheetName val="Sheet1"/>
      <sheetName val="TNI Topic Name"/>
      <sheetName val="Trg Vlookup"/>
      <sheetName val="LH &amp; Topic Pivot"/>
      <sheetName val="Sheet5"/>
      <sheetName val="Sheet2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Training Name</v>
          </cell>
          <cell r="C1" t="str">
            <v>PMO Training Category</v>
          </cell>
          <cell r="D1" t="str">
            <v>PL Category</v>
          </cell>
          <cell r="E1" t="str">
            <v>BRSR SQ 1,2,3 Category</v>
          </cell>
        </row>
        <row r="2">
          <cell r="B2" t="str">
            <v>7 QC tools Problem Solving Simulation</v>
          </cell>
          <cell r="C2" t="str">
            <v>Functional Skills</v>
          </cell>
          <cell r="D2" t="str">
            <v>PL2</v>
          </cell>
          <cell r="E2" t="str">
            <v>SQ1</v>
          </cell>
        </row>
        <row r="3">
          <cell r="B3" t="str">
            <v>AECT</v>
          </cell>
          <cell r="C3" t="str">
            <v>SHE (Safety+Health)</v>
          </cell>
          <cell r="D3" t="str">
            <v>PL1</v>
          </cell>
          <cell r="E3" t="str">
            <v>SQ1 + SQ2.1</v>
          </cell>
        </row>
        <row r="4">
          <cell r="B4" t="str">
            <v>Alternative Fuels</v>
          </cell>
          <cell r="C4" t="str">
            <v>Professional Skills</v>
          </cell>
          <cell r="D4" t="str">
            <v>PL1</v>
          </cell>
          <cell r="E4" t="str">
            <v>SQ1</v>
          </cell>
        </row>
        <row r="5">
          <cell r="B5" t="str">
            <v>Automobile Craftsmanship /VLO</v>
          </cell>
          <cell r="C5" t="str">
            <v>Functional Skills</v>
          </cell>
          <cell r="D5" t="str">
            <v>PL2</v>
          </cell>
          <cell r="E5" t="str">
            <v>SQ1</v>
          </cell>
        </row>
        <row r="6">
          <cell r="B6" t="str">
            <v>CO2 , Argon , Brazing Welding techniques and handling</v>
          </cell>
          <cell r="C6" t="str">
            <v>Functional Skills</v>
          </cell>
          <cell r="D6" t="str">
            <v>PL1</v>
          </cell>
          <cell r="E6" t="str">
            <v>SQ1</v>
          </cell>
        </row>
        <row r="7">
          <cell r="B7" t="str">
            <v>Confined Space Entry</v>
          </cell>
          <cell r="C7" t="str">
            <v>SHE (Safety+Health)</v>
          </cell>
          <cell r="D7" t="str">
            <v>PL1</v>
          </cell>
          <cell r="E7" t="str">
            <v>SQ1 + SQ2.1</v>
          </cell>
        </row>
        <row r="8">
          <cell r="B8" t="str">
            <v>Electrical Safety Management System</v>
          </cell>
          <cell r="C8" t="str">
            <v>SHE (Safety+Health)</v>
          </cell>
          <cell r="D8" t="str">
            <v>PL1</v>
          </cell>
          <cell r="E8" t="str">
            <v>SQ1 + SQ2.1</v>
          </cell>
        </row>
        <row r="9">
          <cell r="B9" t="str">
            <v xml:space="preserve">Emergency preparedness </v>
          </cell>
          <cell r="C9" t="str">
            <v>SHE (Safety+Health)</v>
          </cell>
          <cell r="D9" t="str">
            <v>PL1</v>
          </cell>
          <cell r="E9" t="str">
            <v>SQ1 + SQ2.1</v>
          </cell>
        </row>
        <row r="10">
          <cell r="B10" t="str">
            <v xml:space="preserve">eSDT Training program </v>
          </cell>
          <cell r="C10" t="str">
            <v>Digital</v>
          </cell>
          <cell r="D10" t="str">
            <v>PL1</v>
          </cell>
          <cell r="E10" t="str">
            <v>SQ1</v>
          </cell>
        </row>
        <row r="11">
          <cell r="B11" t="str">
            <v>Fire Safety Management System</v>
          </cell>
          <cell r="C11" t="str">
            <v>SHE (Safety+Health)</v>
          </cell>
          <cell r="D11" t="str">
            <v>PL1</v>
          </cell>
          <cell r="E11" t="str">
            <v>SQ1 + SQ2.1</v>
          </cell>
        </row>
        <row r="12">
          <cell r="B12" t="str">
            <v>HIRA</v>
          </cell>
          <cell r="C12" t="str">
            <v>SHE (Safety+Health)</v>
          </cell>
          <cell r="D12" t="str">
            <v>PL1</v>
          </cell>
          <cell r="E12" t="str">
            <v>SQ1 + SQ2.1</v>
          </cell>
        </row>
        <row r="13">
          <cell r="B13" t="str">
            <v xml:space="preserve">Industry 4.0 </v>
          </cell>
          <cell r="C13" t="str">
            <v>Digital</v>
          </cell>
          <cell r="D13" t="str">
            <v>PL1</v>
          </cell>
          <cell r="E13" t="str">
            <v>SQ1</v>
          </cell>
        </row>
        <row r="14">
          <cell r="B14" t="str">
            <v>Instrument cluster &amp; nomenclature</v>
          </cell>
          <cell r="C14" t="str">
            <v>CESS</v>
          </cell>
          <cell r="D14" t="str">
            <v>PL1</v>
          </cell>
          <cell r="E14" t="str">
            <v>SQ1</v>
          </cell>
        </row>
        <row r="15">
          <cell r="B15" t="str">
            <v>ISO 50001 Energy Management System</v>
          </cell>
          <cell r="C15" t="str">
            <v>Sustainability</v>
          </cell>
          <cell r="D15" t="str">
            <v>PL1</v>
          </cell>
          <cell r="E15" t="str">
            <v>SQ1</v>
          </cell>
        </row>
        <row r="16">
          <cell r="B16" t="str">
            <v>ISO14001 Environment management system</v>
          </cell>
          <cell r="C16" t="str">
            <v>Sustainability</v>
          </cell>
          <cell r="D16" t="str">
            <v>PL1</v>
          </cell>
          <cell r="E16" t="str">
            <v xml:space="preserve">SQ1 </v>
          </cell>
        </row>
        <row r="17">
          <cell r="B17" t="str">
            <v>JH3-TPM (Total Productive Maintenance)</v>
          </cell>
          <cell r="C17" t="str">
            <v>Functional Skills</v>
          </cell>
          <cell r="D17" t="str">
            <v>PL1</v>
          </cell>
          <cell r="E17" t="str">
            <v>SQ1</v>
          </cell>
        </row>
        <row r="18">
          <cell r="B18" t="str">
            <v>Job Safety Analaysis</v>
          </cell>
          <cell r="C18" t="str">
            <v>SHE (Safety+Health)</v>
          </cell>
          <cell r="D18" t="str">
            <v>PL1</v>
          </cell>
          <cell r="E18" t="str">
            <v>SQ1 + SQ2.1</v>
          </cell>
        </row>
        <row r="19">
          <cell r="B19" t="str">
            <v>Kaizen</v>
          </cell>
          <cell r="C19" t="str">
            <v>Professional Skills</v>
          </cell>
          <cell r="D19" t="str">
            <v>PL1</v>
          </cell>
          <cell r="E19" t="str">
            <v>SQ1</v>
          </cell>
        </row>
        <row r="20">
          <cell r="B20" t="str">
            <v>Know About Hydraulics &amp; Pneumatics</v>
          </cell>
          <cell r="C20" t="str">
            <v>Functional Skills</v>
          </cell>
          <cell r="D20" t="str">
            <v>PL1</v>
          </cell>
          <cell r="E20" t="str">
            <v>SQ1</v>
          </cell>
        </row>
        <row r="21">
          <cell r="B21" t="str">
            <v>Lifting &amp; Supporting Loads</v>
          </cell>
          <cell r="C21" t="str">
            <v>SHE (Safety+Health)</v>
          </cell>
          <cell r="D21" t="str">
            <v>PL1</v>
          </cell>
          <cell r="E21" t="str">
            <v>SQ1 + SQ2.1</v>
          </cell>
        </row>
        <row r="22">
          <cell r="B22" t="str">
            <v>LOTO</v>
          </cell>
          <cell r="C22" t="str">
            <v>SHE (Safety+Health)</v>
          </cell>
          <cell r="D22" t="str">
            <v>PL1</v>
          </cell>
          <cell r="E22" t="str">
            <v>SQ1 + SQ2.1</v>
          </cell>
        </row>
        <row r="23">
          <cell r="B23" t="str">
            <v>Machine Guarding</v>
          </cell>
          <cell r="C23" t="str">
            <v>SHE (Safety+Health)</v>
          </cell>
          <cell r="D23" t="str">
            <v>PL1</v>
          </cell>
          <cell r="E23" t="str">
            <v>SQ1 + SQ2.1</v>
          </cell>
        </row>
        <row r="24">
          <cell r="B24" t="str">
            <v xml:space="preserve">Management of Change </v>
          </cell>
          <cell r="C24" t="str">
            <v>SHE (Safety+Health)</v>
          </cell>
          <cell r="D24" t="str">
            <v>PL1</v>
          </cell>
          <cell r="E24" t="str">
            <v>SQ1 + SQ2.1</v>
          </cell>
        </row>
        <row r="25">
          <cell r="B25" t="str">
            <v xml:space="preserve">Material Handling </v>
          </cell>
          <cell r="C25" t="str">
            <v>SHE (Safety+Health)</v>
          </cell>
          <cell r="D25" t="str">
            <v>PL1</v>
          </cell>
          <cell r="E25" t="str">
            <v>SQ1 + SQ2.1</v>
          </cell>
        </row>
        <row r="26">
          <cell r="B26" t="str">
            <v>OJT-SDT&amp;TL Coching Skill</v>
          </cell>
          <cell r="C26" t="str">
            <v>Professional Skills</v>
          </cell>
          <cell r="D26" t="str">
            <v>PL1</v>
          </cell>
          <cell r="E26" t="str">
            <v>SQ1</v>
          </cell>
        </row>
        <row r="27">
          <cell r="B27" t="str">
            <v>Orientation to Auto E &amp; E</v>
          </cell>
          <cell r="C27" t="str">
            <v>CESS</v>
          </cell>
          <cell r="D27" t="str">
            <v>PL1</v>
          </cell>
          <cell r="E27" t="str">
            <v>SQ1</v>
          </cell>
        </row>
        <row r="28">
          <cell r="B28" t="str">
            <v>Orientation to CESS</v>
          </cell>
          <cell r="C28" t="str">
            <v>CESS</v>
          </cell>
          <cell r="D28" t="str">
            <v>PL1</v>
          </cell>
          <cell r="E28" t="str">
            <v>SQ1</v>
          </cell>
        </row>
        <row r="29">
          <cell r="B29" t="str">
            <v>Permit To Work</v>
          </cell>
          <cell r="C29" t="str">
            <v>SHE (Safety+Health)</v>
          </cell>
          <cell r="D29" t="str">
            <v>PL1</v>
          </cell>
          <cell r="E29" t="str">
            <v>SQ1 + SQ2.1</v>
          </cell>
        </row>
        <row r="30">
          <cell r="B30" t="str">
            <v>POSH &amp; TCOC</v>
          </cell>
          <cell r="C30" t="str">
            <v>Professional Skills</v>
          </cell>
          <cell r="D30" t="str">
            <v>PL1</v>
          </cell>
          <cell r="E30" t="str">
            <v>SQ1 + SQ3</v>
          </cell>
        </row>
        <row r="31">
          <cell r="B31" t="str">
            <v>Powertrain Assembly defects &amp; Remedies</v>
          </cell>
          <cell r="C31" t="str">
            <v>Functional Skills</v>
          </cell>
          <cell r="D31" t="str">
            <v>PL1</v>
          </cell>
          <cell r="E31" t="str">
            <v>SQ1</v>
          </cell>
        </row>
        <row r="32">
          <cell r="B32" t="str">
            <v>Product Familiarization (Our Products Range)</v>
          </cell>
          <cell r="C32" t="str">
            <v>Functional Skills</v>
          </cell>
          <cell r="D32" t="str">
            <v>PL1</v>
          </cell>
          <cell r="E32" t="str">
            <v>SQ1</v>
          </cell>
        </row>
        <row r="33">
          <cell r="B33" t="str">
            <v>7 QC tools Awareness Training</v>
          </cell>
          <cell r="C33" t="str">
            <v>Functional Skills</v>
          </cell>
          <cell r="D33" t="str">
            <v>PL1</v>
          </cell>
          <cell r="E33" t="str">
            <v>SQ1</v>
          </cell>
        </row>
        <row r="34">
          <cell r="B34" t="str">
            <v>RDE with Smart sensor Technology</v>
          </cell>
          <cell r="C34" t="str">
            <v>CESS</v>
          </cell>
          <cell r="D34" t="str">
            <v>PL1</v>
          </cell>
          <cell r="E34" t="str">
            <v>SQ1</v>
          </cell>
        </row>
        <row r="35">
          <cell r="B35" t="str">
            <v>SDT – Awareness session</v>
          </cell>
          <cell r="C35" t="str">
            <v>Professional Skills</v>
          </cell>
          <cell r="D35" t="str">
            <v>PL1</v>
          </cell>
          <cell r="E35" t="str">
            <v>SQ1</v>
          </cell>
        </row>
        <row r="36">
          <cell r="B36" t="str">
            <v xml:space="preserve">SDT 2.0 Empowerment </v>
          </cell>
          <cell r="C36" t="str">
            <v>Professional Skills</v>
          </cell>
          <cell r="D36" t="str">
            <v>PL1</v>
          </cell>
          <cell r="E36" t="str">
            <v>SQ1</v>
          </cell>
        </row>
        <row r="37">
          <cell r="B37" t="str">
            <v>SDVTS-DDT</v>
          </cell>
          <cell r="C37" t="str">
            <v>SHE (Safety+Health)</v>
          </cell>
          <cell r="D37" t="str">
            <v>PL1</v>
          </cell>
          <cell r="E37" t="str">
            <v>SQ1 + SQ2.1</v>
          </cell>
        </row>
        <row r="38">
          <cell r="B38" t="str">
            <v xml:space="preserve">Sixty Not Out </v>
          </cell>
          <cell r="C38" t="str">
            <v>Professional Skills</v>
          </cell>
          <cell r="D38" t="str">
            <v>PL1</v>
          </cell>
          <cell r="E38" t="str">
            <v>SQ1</v>
          </cell>
        </row>
        <row r="39">
          <cell r="B39" t="str">
            <v>Tata History &amp; Their Journey</v>
          </cell>
          <cell r="C39" t="str">
            <v>Professional Skills</v>
          </cell>
          <cell r="D39" t="str">
            <v>PL1</v>
          </cell>
          <cell r="E39" t="str">
            <v>SQ1</v>
          </cell>
        </row>
        <row r="40">
          <cell r="B40" t="str">
            <v xml:space="preserve">TBEM </v>
          </cell>
          <cell r="C40" t="str">
            <v>Functional Skills</v>
          </cell>
          <cell r="D40" t="str">
            <v>PL1</v>
          </cell>
          <cell r="E40" t="str">
            <v>SQ1</v>
          </cell>
        </row>
        <row r="41">
          <cell r="B41" t="str">
            <v>TCF Assembly defects &amp; Remedies</v>
          </cell>
          <cell r="C41" t="str">
            <v>Functional Skills</v>
          </cell>
          <cell r="D41" t="str">
            <v>PL1</v>
          </cell>
          <cell r="E41" t="str">
            <v>SQ1</v>
          </cell>
        </row>
        <row r="42">
          <cell r="B42" t="str">
            <v>Upskilling Auto E &amp; E Module 1</v>
          </cell>
          <cell r="C42" t="str">
            <v>CESS</v>
          </cell>
          <cell r="D42" t="str">
            <v>PL1</v>
          </cell>
          <cell r="E42" t="str">
            <v>SQ1 + SQ2.2</v>
          </cell>
        </row>
        <row r="43">
          <cell r="B43" t="str">
            <v>Upskilling Auto E &amp; E Module 2</v>
          </cell>
          <cell r="C43" t="str">
            <v>CESS</v>
          </cell>
          <cell r="D43" t="str">
            <v>PL1</v>
          </cell>
          <cell r="E43" t="str">
            <v>SQ1 + SQ2.2</v>
          </cell>
        </row>
        <row r="44">
          <cell r="B44" t="str">
            <v>Upskilling Auto E &amp; E Module 3</v>
          </cell>
          <cell r="C44" t="str">
            <v>CESS</v>
          </cell>
          <cell r="D44" t="str">
            <v>PL2</v>
          </cell>
          <cell r="E44" t="str">
            <v>SQ1 + SQ2.2</v>
          </cell>
        </row>
        <row r="45">
          <cell r="B45" t="str">
            <v>Upskilling Auto E &amp; E Module 4</v>
          </cell>
          <cell r="C45" t="str">
            <v>CESS</v>
          </cell>
          <cell r="D45" t="str">
            <v>PL3</v>
          </cell>
          <cell r="E45" t="str">
            <v>SQ1 + SQ2.2</v>
          </cell>
        </row>
        <row r="46">
          <cell r="B46" t="str">
            <v>Upskilling on Mechatronics Module 1</v>
          </cell>
          <cell r="C46" t="str">
            <v>Functional Skills</v>
          </cell>
          <cell r="D46" t="str">
            <v>PL1</v>
          </cell>
          <cell r="E46" t="str">
            <v>SQ1 + SQ2.2</v>
          </cell>
        </row>
        <row r="47">
          <cell r="B47" t="str">
            <v>Upskilling on Mechatronics Module 2</v>
          </cell>
          <cell r="C47" t="str">
            <v>Functional Skills</v>
          </cell>
          <cell r="D47" t="str">
            <v>PL2</v>
          </cell>
          <cell r="E47" t="str">
            <v>SQ1 + SQ2.2</v>
          </cell>
        </row>
        <row r="48">
          <cell r="B48" t="str">
            <v>Upskilling on Mechatronics Module 3</v>
          </cell>
          <cell r="C48" t="str">
            <v>Functional Skills</v>
          </cell>
          <cell r="D48" t="str">
            <v>PL3</v>
          </cell>
          <cell r="E48" t="str">
            <v>SQ1 + SQ2.2</v>
          </cell>
        </row>
        <row r="49">
          <cell r="B49" t="str">
            <v>Vehicle assembly Tools, equipment's &amp; fasteners Tightening &amp; fastening Skills</v>
          </cell>
          <cell r="C49" t="str">
            <v>Functional Skills</v>
          </cell>
          <cell r="D49" t="str">
            <v>PL1</v>
          </cell>
          <cell r="E49" t="str">
            <v>SQ1</v>
          </cell>
        </row>
        <row r="50">
          <cell r="B50" t="str">
            <v>WCQ Simulation workshop</v>
          </cell>
          <cell r="C50" t="str">
            <v>Functional Skills</v>
          </cell>
          <cell r="D50" t="str">
            <v>PL2</v>
          </cell>
          <cell r="E50" t="str">
            <v>SQ1</v>
          </cell>
        </row>
        <row r="51">
          <cell r="B51" t="str">
            <v>Work at Height</v>
          </cell>
          <cell r="C51" t="str">
            <v>SHE (Safety+Health)</v>
          </cell>
          <cell r="D51" t="str">
            <v>PL1</v>
          </cell>
          <cell r="E51" t="str">
            <v>SQ1 + SQ2.1</v>
          </cell>
        </row>
        <row r="52">
          <cell r="B52" t="str">
            <v>Zero Defect Station</v>
          </cell>
          <cell r="C52" t="str">
            <v>Functional Skills</v>
          </cell>
          <cell r="D52" t="str">
            <v>PL3</v>
          </cell>
          <cell r="E52" t="str">
            <v>SQ1 + SQ2.2</v>
          </cell>
        </row>
        <row r="53">
          <cell r="B53" t="str">
            <v>Safety Awareness</v>
          </cell>
          <cell r="C53" t="str">
            <v>SHE (Safety+Health)</v>
          </cell>
          <cell r="D53" t="str">
            <v>PL1</v>
          </cell>
          <cell r="E53" t="str">
            <v>SQ1 + SQ2.1</v>
          </cell>
        </row>
        <row r="54">
          <cell r="B54" t="str">
            <v xml:space="preserve">Culture Play Lets Discover together </v>
          </cell>
          <cell r="C54" t="str">
            <v>Professional Skills</v>
          </cell>
          <cell r="D54" t="str">
            <v>PL1</v>
          </cell>
          <cell r="E54" t="str">
            <v>SQ1</v>
          </cell>
        </row>
        <row r="55">
          <cell r="B55" t="str">
            <v xml:space="preserve">Hand &amp; Finger Injury </v>
          </cell>
          <cell r="C55" t="str">
            <v>SHE (Safety+Health)</v>
          </cell>
          <cell r="D55" t="str">
            <v>PL1</v>
          </cell>
          <cell r="E55" t="str">
            <v>SQ1 + SQ2.1</v>
          </cell>
        </row>
        <row r="56">
          <cell r="B56"/>
          <cell r="C56"/>
          <cell r="D56"/>
          <cell r="E56"/>
        </row>
        <row r="57">
          <cell r="B57"/>
          <cell r="C57"/>
          <cell r="D57"/>
          <cell r="E57"/>
        </row>
        <row r="58">
          <cell r="B58"/>
          <cell r="C58"/>
          <cell r="D58"/>
          <cell r="E58"/>
        </row>
        <row r="59">
          <cell r="B59"/>
          <cell r="C59"/>
          <cell r="D59"/>
          <cell r="E59"/>
        </row>
        <row r="60">
          <cell r="B60"/>
          <cell r="C60"/>
          <cell r="D60"/>
          <cell r="E60"/>
        </row>
        <row r="61">
          <cell r="B61"/>
          <cell r="C61"/>
          <cell r="D61"/>
          <cell r="E61"/>
        </row>
        <row r="62">
          <cell r="B62"/>
          <cell r="C62"/>
          <cell r="D62"/>
          <cell r="E62"/>
        </row>
        <row r="63">
          <cell r="B63"/>
          <cell r="C63"/>
          <cell r="D63"/>
          <cell r="E63"/>
        </row>
        <row r="64">
          <cell r="B64"/>
          <cell r="C64"/>
          <cell r="D64"/>
          <cell r="E64"/>
        </row>
        <row r="65">
          <cell r="B65"/>
          <cell r="C65"/>
          <cell r="D65"/>
          <cell r="E65"/>
        </row>
        <row r="66">
          <cell r="B66"/>
          <cell r="C66"/>
          <cell r="D66"/>
          <cell r="E66"/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Master Data 25-26"/>
      <sheetName val="Pivot IMP"/>
      <sheetName val="SDT only"/>
      <sheetName val="Trg Vlookup"/>
      <sheetName val="TNI Topic Name"/>
      <sheetName val="LH &amp; Topic Pivot"/>
      <sheetName val="Sheet5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"/>
  <sheetViews>
    <sheetView tabSelected="1" workbookViewId="0">
      <selection activeCell="A2" sqref="A2"/>
    </sheetView>
  </sheetViews>
  <sheetFormatPr defaultRowHeight="15" x14ac:dyDescent="0.25"/>
  <cols>
    <col min="1" max="1" width="6.28515625" style="19" bestFit="1" customWidth="1"/>
    <col min="2" max="2" width="6.28515625" style="19" customWidth="1"/>
    <col min="3" max="3" width="15.42578125" style="19" bestFit="1" customWidth="1"/>
    <col min="4" max="4" width="23.5703125" style="19" bestFit="1" customWidth="1"/>
    <col min="5" max="5" width="19.28515625" style="19" bestFit="1" customWidth="1"/>
    <col min="6" max="6" width="9.42578125" style="19" bestFit="1" customWidth="1"/>
    <col min="7" max="7" width="8.85546875" style="19" bestFit="1" customWidth="1"/>
    <col min="8" max="8" width="10" style="19" bestFit="1" customWidth="1"/>
    <col min="9" max="9" width="9.140625" style="19"/>
    <col min="10" max="10" width="14.140625" style="19" bestFit="1" customWidth="1"/>
    <col min="11" max="11" width="13.42578125" style="19" bestFit="1" customWidth="1"/>
    <col min="12" max="12" width="21.5703125" style="19" bestFit="1" customWidth="1"/>
    <col min="13" max="13" width="11.28515625" style="19" bestFit="1" customWidth="1"/>
    <col min="14" max="14" width="21.5703125" style="19" bestFit="1" customWidth="1"/>
    <col min="15" max="15" width="31" style="19" bestFit="1" customWidth="1"/>
    <col min="16" max="16" width="13.5703125" style="19" bestFit="1" customWidth="1"/>
    <col min="17" max="17" width="12.28515625" style="19" bestFit="1" customWidth="1"/>
    <col min="18" max="18" width="9.140625" style="19"/>
    <col min="19" max="21" width="8.7109375" style="19" bestFit="1" customWidth="1"/>
    <col min="22" max="22" width="7.5703125" style="19" bestFit="1" customWidth="1"/>
    <col min="23" max="23" width="17.85546875" style="19" bestFit="1" customWidth="1"/>
    <col min="24" max="24" width="6.28515625" style="19" bestFit="1" customWidth="1"/>
    <col min="25" max="25" width="7.5703125" style="19" bestFit="1" customWidth="1"/>
    <col min="26" max="26" width="15.5703125" style="19" bestFit="1" customWidth="1"/>
    <col min="27" max="27" width="11.7109375" style="19" bestFit="1" customWidth="1"/>
    <col min="28" max="28" width="7.42578125" style="19" bestFit="1" customWidth="1"/>
    <col min="29" max="29" width="24.85546875" style="19" bestFit="1" customWidth="1"/>
    <col min="30" max="30" width="14.85546875" style="19" bestFit="1" customWidth="1"/>
    <col min="31" max="31" width="7" style="19" bestFit="1" customWidth="1"/>
    <col min="32" max="16384" width="9.140625" style="19"/>
  </cols>
  <sheetData>
    <row r="1" spans="1:31" s="20" customFormat="1" x14ac:dyDescent="0.25">
      <c r="A1" s="20" t="s">
        <v>0</v>
      </c>
      <c r="B1" s="20" t="s">
        <v>41</v>
      </c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0" t="s">
        <v>16</v>
      </c>
      <c r="S1" s="20" t="s">
        <v>17</v>
      </c>
      <c r="T1" s="20" t="s">
        <v>18</v>
      </c>
      <c r="U1" s="20" t="s">
        <v>19</v>
      </c>
      <c r="V1" s="20" t="s">
        <v>20</v>
      </c>
      <c r="W1" s="20" t="s">
        <v>21</v>
      </c>
      <c r="X1" s="20" t="s">
        <v>22</v>
      </c>
      <c r="Y1" s="20" t="s">
        <v>23</v>
      </c>
      <c r="Z1" s="20" t="s">
        <v>24</v>
      </c>
      <c r="AA1" s="20" t="s">
        <v>25</v>
      </c>
      <c r="AB1" s="20" t="s">
        <v>26</v>
      </c>
      <c r="AC1" s="20" t="s">
        <v>27</v>
      </c>
      <c r="AD1" s="20" t="s">
        <v>28</v>
      </c>
      <c r="AE1" s="20" t="s">
        <v>29</v>
      </c>
    </row>
  </sheetData>
  <sheetProtection sheet="1" objects="1" scenarios="1" select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workbookViewId="0">
      <selection activeCell="G15" sqref="G15"/>
    </sheetView>
  </sheetViews>
  <sheetFormatPr defaultRowHeight="15" x14ac:dyDescent="0.25"/>
  <cols>
    <col min="1" max="1" width="6.85546875" bestFit="1" customWidth="1"/>
    <col min="2" max="2" width="6.85546875" customWidth="1"/>
    <col min="3" max="3" width="15.5703125" bestFit="1" customWidth="1"/>
    <col min="4" max="4" width="11.7109375" bestFit="1" customWidth="1"/>
    <col min="5" max="7" width="10.42578125" bestFit="1" customWidth="1"/>
    <col min="8" max="8" width="8.140625" bestFit="1" customWidth="1"/>
    <col min="9" max="9" width="7.85546875" bestFit="1" customWidth="1"/>
    <col min="10" max="10" width="8.28515625" bestFit="1" customWidth="1"/>
    <col min="11" max="11" width="14.85546875" bestFit="1" customWidth="1"/>
    <col min="12" max="12" width="18.85546875" bestFit="1" customWidth="1"/>
    <col min="13" max="13" width="12.5703125" bestFit="1" customWidth="1"/>
    <col min="14" max="14" width="11.28515625" bestFit="1" customWidth="1"/>
    <col min="15" max="15" width="15.85546875" bestFit="1" customWidth="1"/>
    <col min="16" max="16" width="5.85546875" bestFit="1" customWidth="1"/>
    <col min="17" max="17" width="13.85546875" bestFit="1" customWidth="1"/>
    <col min="18" max="18" width="17.42578125" bestFit="1" customWidth="1"/>
    <col min="19" max="21" width="9.7109375" bestFit="1" customWidth="1"/>
    <col min="22" max="22" width="8.28515625" bestFit="1" customWidth="1"/>
    <col min="23" max="23" width="19.85546875" bestFit="1" customWidth="1"/>
    <col min="24" max="24" width="8" bestFit="1" customWidth="1"/>
    <col min="25" max="25" width="8.140625" bestFit="1" customWidth="1"/>
    <col min="26" max="26" width="17.28515625" bestFit="1" customWidth="1"/>
    <col min="27" max="27" width="12.85546875" bestFit="1" customWidth="1"/>
    <col min="28" max="28" width="8.28515625" bestFit="1" customWidth="1"/>
    <col min="29" max="29" width="10.42578125" bestFit="1" customWidth="1"/>
    <col min="30" max="30" width="8.7109375" bestFit="1" customWidth="1"/>
    <col min="31" max="31" width="7.5703125" bestFit="1" customWidth="1"/>
  </cols>
  <sheetData>
    <row r="1" spans="1:31" s="9" customFormat="1" ht="49.5" customHeight="1" x14ac:dyDescent="0.25">
      <c r="A1" s="1" t="s">
        <v>0</v>
      </c>
      <c r="B1" s="1" t="s">
        <v>41</v>
      </c>
      <c r="C1" s="2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5" t="s">
        <v>6</v>
      </c>
      <c r="I1" s="5" t="s">
        <v>7</v>
      </c>
      <c r="J1" s="3" t="s">
        <v>8</v>
      </c>
      <c r="K1" s="1" t="s">
        <v>9</v>
      </c>
      <c r="L1" s="3" t="s">
        <v>10</v>
      </c>
      <c r="M1" s="1" t="s">
        <v>11</v>
      </c>
      <c r="N1" s="3" t="s">
        <v>12</v>
      </c>
      <c r="O1" s="3" t="s">
        <v>13</v>
      </c>
      <c r="P1" s="6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7" t="s">
        <v>27</v>
      </c>
      <c r="AD1" s="3" t="s">
        <v>28</v>
      </c>
      <c r="AE1" s="8" t="s">
        <v>29</v>
      </c>
    </row>
    <row r="2" spans="1:31" x14ac:dyDescent="0.25">
      <c r="A2" s="10">
        <v>5755</v>
      </c>
      <c r="B2" s="21" t="s">
        <v>42</v>
      </c>
      <c r="C2" s="11" t="s">
        <v>30</v>
      </c>
      <c r="D2" s="11" t="s">
        <v>30</v>
      </c>
      <c r="E2" s="11" t="s">
        <v>30</v>
      </c>
      <c r="F2" s="12">
        <v>45971</v>
      </c>
      <c r="G2" s="12">
        <v>45971</v>
      </c>
      <c r="H2" s="13">
        <v>0.4375</v>
      </c>
      <c r="I2" s="14">
        <v>0.625</v>
      </c>
      <c r="J2" s="11">
        <v>4</v>
      </c>
      <c r="K2" s="11" t="s">
        <v>31</v>
      </c>
      <c r="L2" s="11" t="str">
        <f>VLOOKUP(K2,'[1]Trg Vlookup'!$B$1:$E$66,2,FALSE)</f>
        <v>SHE (Safety+Health)</v>
      </c>
      <c r="M2" s="11" t="str">
        <f>VLOOKUP(K2,'[1]Trg Vlookup'!$B$1:$E$66,3,FALSE)</f>
        <v>PL1</v>
      </c>
      <c r="N2" s="11" t="str">
        <f>VLOOKUP(K2,'[1]Trg Vlookup'!$B$1:$E$66,4,FALSE)</f>
        <v>SQ1 + SQ2.1</v>
      </c>
      <c r="O2" s="11" t="s">
        <v>32</v>
      </c>
      <c r="P2" s="11" t="s">
        <v>33</v>
      </c>
      <c r="Q2" s="11" t="s">
        <v>34</v>
      </c>
      <c r="R2" s="11" t="s">
        <v>35</v>
      </c>
      <c r="S2" s="11" t="s">
        <v>36</v>
      </c>
      <c r="T2" s="11" t="s">
        <v>36</v>
      </c>
      <c r="U2" s="15" t="s">
        <v>36</v>
      </c>
      <c r="V2" s="16">
        <v>170491</v>
      </c>
      <c r="W2" s="17" t="s">
        <v>37</v>
      </c>
      <c r="X2" s="11">
        <v>1119801</v>
      </c>
      <c r="Y2" s="11" t="s">
        <v>38</v>
      </c>
      <c r="Z2" s="11" t="s">
        <v>39</v>
      </c>
      <c r="AA2" s="11" t="s">
        <v>40</v>
      </c>
      <c r="AB2" s="11" t="s">
        <v>40</v>
      </c>
      <c r="AC2" s="18"/>
    </row>
  </sheetData>
  <conditionalFormatting sqref="W2">
    <cfRule type="duplicateValues" dxfId="2" priority="1"/>
    <cfRule type="duplicateValues" dxfId="1" priority="2"/>
  </conditionalFormatting>
  <conditionalFormatting sqref="V2">
    <cfRule type="duplicateValues" dxfId="0" priority="3"/>
  </conditionalFormatting>
  <dataValidations count="3">
    <dataValidation type="list" allowBlank="1" showInputMessage="1" showErrorMessage="1" sqref="Y1 AB1:AC1 L1:M1 D1"/>
    <dataValidation type="list" allowBlank="1" showInputMessage="1" showErrorMessage="1" sqref="O1">
      <formula1>#REF!</formula1>
    </dataValidation>
    <dataValidation allowBlank="1" showInputMessage="1" showErrorMessage="1" sqref="Z1 AD1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'D:\OneDrive - TATA MOTORS LTD\Skill Development Dashboard Pune TMCV\Manual Dashboard Data\[1.Master Data Skill Devlopment 2025-26 TMCV Pune.xlsx]Trg Vlookup'!#REF!</xm:f>
          </x14:formula1>
          <xm:sqref>H2 O2 J2:K2 Q1:Q2</xm:sqref>
        </x14:dataValidation>
        <x14:dataValidation type="list" allowBlank="1" showInputMessage="1" showErrorMessage="1">
          <x14:formula1>
            <xm:f>'https://tatamotors.sharepoint.com/sites/SkillDevelopmentDashboardPuneTMCV/Shared Documents/Manual Dashboard Data/[1.Master Data Skill development 2025-26 TMCV Pune_Old.xlsx]Trg Vlookup'!#REF!</xm:f>
          </x14:formula1>
          <xm:sqref>I2 P2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936013E872FC4C9A1E21DBB1119295" ma:contentTypeVersion="15" ma:contentTypeDescription="Create a new document." ma:contentTypeScope="" ma:versionID="ba5454af73d9472e8791900918226814">
  <xsd:schema xmlns:xsd="http://www.w3.org/2001/XMLSchema" xmlns:xs="http://www.w3.org/2001/XMLSchema" xmlns:p="http://schemas.microsoft.com/office/2006/metadata/properties" xmlns:ns2="5361a4f8-3b75-47c4-88d3-d6317ba8452d" xmlns:ns3="f63ea2db-e09b-49ca-b2f8-fde31520eefa" targetNamespace="http://schemas.microsoft.com/office/2006/metadata/properties" ma:root="true" ma:fieldsID="89e29fec0ffc971dcd0a9f35be7061c6" ns2:_="" ns3:_="">
    <xsd:import namespace="5361a4f8-3b75-47c4-88d3-d6317ba8452d"/>
    <xsd:import namespace="f63ea2db-e09b-49ca-b2f8-fde31520ee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1a4f8-3b75-47c4-88d3-d6317ba845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8910060-619e-40f5-9968-44ccfb98e2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ea2db-e09b-49ca-b2f8-fde31520eef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3132766-549c-4bc4-ae64-ff70f95c547c}" ma:internalName="TaxCatchAll" ma:showField="CatchAllData" ma:web="f63ea2db-e09b-49ca-b2f8-fde31520ee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61a4f8-3b75-47c4-88d3-d6317ba8452d">
      <Terms xmlns="http://schemas.microsoft.com/office/infopath/2007/PartnerControls"/>
    </lcf76f155ced4ddcb4097134ff3c332f>
    <TaxCatchAll xmlns="f63ea2db-e09b-49ca-b2f8-fde31520eefa" xsi:nil="true"/>
  </documentManagement>
</p:properties>
</file>

<file path=customXml/itemProps1.xml><?xml version="1.0" encoding="utf-8"?>
<ds:datastoreItem xmlns:ds="http://schemas.openxmlformats.org/officeDocument/2006/customXml" ds:itemID="{D427B4E0-B7BE-4A11-8753-2B4C4175C2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1a4f8-3b75-47c4-88d3-d6317ba8452d"/>
    <ds:schemaRef ds:uri="f63ea2db-e09b-49ca-b2f8-fde31520ee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11A943-211A-44C7-B2A5-96C2D7D841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A4824F-C0AA-4D2D-A041-E609DE64BAC3}">
  <ds:schemaRefs>
    <ds:schemaRef ds:uri="http://purl.org/dc/terms/"/>
    <ds:schemaRef ds:uri="5361a4f8-3b75-47c4-88d3-d6317ba8452d"/>
    <ds:schemaRef ds:uri="http://www.w3.org/XML/1998/namespace"/>
    <ds:schemaRef ds:uri="http://purl.org/dc/dcmitype/"/>
    <ds:schemaRef ds:uri="f63ea2db-e09b-49ca-b2f8-fde31520eefa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2025-11-27T01:51:00Z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0x01010016936013E872FC4C9A1E21DBB1119295</vt:lpwstr>
  </property>
  <property fmtid="{D5CDD505-2E9C-101B-9397-08002B2CF9AE}" pid="3" name="MediaServiceImageTags">
    <vt:lpwstr/>
  </property>
</Properties>
</file>